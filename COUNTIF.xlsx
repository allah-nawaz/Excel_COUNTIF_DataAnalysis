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awaz\OneDrive\Desktop\"/>
    </mc:Choice>
  </mc:AlternateContent>
  <bookViews>
    <workbookView xWindow="0" yWindow="0" windowWidth="19200" windowHeight="7118"/>
  </bookViews>
  <sheets>
    <sheet name="Sheet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" i="2" l="1"/>
  <c r="G6" i="2"/>
  <c r="G5" i="2"/>
  <c r="G14" i="2"/>
  <c r="G15" i="2"/>
  <c r="H11" i="2"/>
  <c r="G19" i="2"/>
  <c r="G18" i="2"/>
  <c r="G17" i="2"/>
  <c r="G16" i="2"/>
  <c r="G13" i="2"/>
  <c r="G12" i="2"/>
  <c r="G11" i="2"/>
  <c r="G10" i="2"/>
  <c r="G9" i="2"/>
  <c r="G8" i="2"/>
</calcChain>
</file>

<file path=xl/sharedStrings.xml><?xml version="1.0" encoding="utf-8"?>
<sst xmlns="http://schemas.openxmlformats.org/spreadsheetml/2006/main" count="32" uniqueCount="28">
  <si>
    <t>Name</t>
  </si>
  <si>
    <t>Marks</t>
  </si>
  <si>
    <t>City</t>
  </si>
  <si>
    <t>Ali</t>
  </si>
  <si>
    <t>Lahore</t>
  </si>
  <si>
    <t>Sara</t>
  </si>
  <si>
    <t>Karachi</t>
  </si>
  <si>
    <t>Ahmed</t>
  </si>
  <si>
    <t>Zain</t>
  </si>
  <si>
    <t>Islamabad</t>
  </si>
  <si>
    <t>Hina</t>
  </si>
  <si>
    <t>Bilal</t>
  </si>
  <si>
    <t>Students from Karachi</t>
  </si>
  <si>
    <t>Students &lt;= 60 marks</t>
  </si>
  <si>
    <t>Students 60+ marks</t>
  </si>
  <si>
    <t>Students! From Lahore</t>
  </si>
  <si>
    <t>Students whose name is Ali</t>
  </si>
  <si>
    <t>How many times marks is 60</t>
  </si>
  <si>
    <t>Students whose marks are between 50 and 80</t>
  </si>
  <si>
    <t>Students whose city starts with K</t>
  </si>
  <si>
    <t>Students whose name has exactly 4 letters</t>
  </si>
  <si>
    <t>Count students based on D14</t>
  </si>
  <si>
    <t>Count marks greater than value in D14</t>
  </si>
  <si>
    <t>Count students from Islamabad</t>
  </si>
  <si>
    <t>Count marks less than 40</t>
  </si>
  <si>
    <t>Count cities ending with i</t>
  </si>
  <si>
    <t>Count names starting with A</t>
  </si>
  <si>
    <t>COUNTIF PRACTICE QUESTIONS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</si>
</sst>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abSelected="1" workbookViewId="0">
      <selection activeCell="E3" sqref="E3:H3"/>
    </sheetView>
  </sheetViews>
  <sheetFormatPr defaultRowHeight="14.25" x14ac:dyDescent="0.45"/>
  <cols>
    <col min="5" max="5" width="37.46484375" bestFit="1" customWidth="1"/>
  </cols>
  <sheetData>
    <row r="1" spans="1:8" x14ac:dyDescent="0.45">
      <c r="A1" s="1" t="s">
        <v>0</v>
      </c>
      <c r="B1" s="1" t="s">
        <v>1</v>
      </c>
      <c r="C1" s="1" t="s">
        <v>2</v>
      </c>
    </row>
    <row r="2" spans="1:8" x14ac:dyDescent="0.45">
      <c r="A2" s="2" t="s">
        <v>3</v>
      </c>
      <c r="B2" s="2">
        <v>45</v>
      </c>
      <c r="C2" s="2" t="s">
        <v>4</v>
      </c>
    </row>
    <row r="3" spans="1:8" x14ac:dyDescent="0.45">
      <c r="A3" s="2" t="s">
        <v>5</v>
      </c>
      <c r="B3" s="2">
        <v>78</v>
      </c>
      <c r="C3" s="2" t="s">
        <v>6</v>
      </c>
      <c r="E3" s="4" t="s">
        <v>27</v>
      </c>
      <c r="F3" s="3"/>
      <c r="G3" s="3"/>
      <c r="H3" s="3"/>
    </row>
    <row r="4" spans="1:8" x14ac:dyDescent="0.45">
      <c r="A4" s="2" t="s">
        <v>7</v>
      </c>
      <c r="B4" s="2">
        <v>90</v>
      </c>
      <c r="C4" s="2" t="s">
        <v>4</v>
      </c>
    </row>
    <row r="5" spans="1:8" x14ac:dyDescent="0.45">
      <c r="A5" s="2" t="s">
        <v>8</v>
      </c>
      <c r="B5" s="2">
        <v>60</v>
      </c>
      <c r="C5" s="2" t="s">
        <v>9</v>
      </c>
      <c r="E5" t="s">
        <v>12</v>
      </c>
      <c r="G5">
        <f>COUNTIF(C2:C7,"Karachi")</f>
        <v>2</v>
      </c>
    </row>
    <row r="6" spans="1:8" x14ac:dyDescent="0.45">
      <c r="A6" s="2" t="s">
        <v>10</v>
      </c>
      <c r="B6" s="2">
        <v>55</v>
      </c>
      <c r="C6" s="2" t="s">
        <v>4</v>
      </c>
      <c r="E6" t="s">
        <v>14</v>
      </c>
      <c r="G6">
        <f>COUNTIF(B2:B7,"&gt;60")</f>
        <v>2</v>
      </c>
    </row>
    <row r="7" spans="1:8" x14ac:dyDescent="0.45">
      <c r="A7" s="2" t="s">
        <v>11</v>
      </c>
      <c r="B7" s="2">
        <v>30</v>
      </c>
      <c r="C7" s="2" t="s">
        <v>6</v>
      </c>
      <c r="E7" t="s">
        <v>13</v>
      </c>
      <c r="G7">
        <f>COUNTIF(B2:B7,"&lt;=60")</f>
        <v>4</v>
      </c>
    </row>
    <row r="8" spans="1:8" x14ac:dyDescent="0.45">
      <c r="E8" t="s">
        <v>15</v>
      </c>
      <c r="G8">
        <f>COUNTIF(C2:C7,"&lt;&gt;Lahore")</f>
        <v>3</v>
      </c>
    </row>
    <row r="9" spans="1:8" x14ac:dyDescent="0.45">
      <c r="E9" t="s">
        <v>16</v>
      </c>
      <c r="G9">
        <f>COUNTIF(A2:A7,"Ali")</f>
        <v>1</v>
      </c>
    </row>
    <row r="10" spans="1:8" x14ac:dyDescent="0.45">
      <c r="E10" t="s">
        <v>17</v>
      </c>
      <c r="G10">
        <f>COUNTIF(B2:B7,60)</f>
        <v>1</v>
      </c>
    </row>
    <row r="11" spans="1:8" x14ac:dyDescent="0.45">
      <c r="E11" t="s">
        <v>18</v>
      </c>
      <c r="G11">
        <f>COUNTIF(B2:B7,"&gt;50") - COUNTIF(B2:B7,"&gt;80")</f>
        <v>3</v>
      </c>
      <c r="H11">
        <f>COUNTIFS(B2:B7,"&gt;50",B2:B7,"&lt;=80")</f>
        <v>3</v>
      </c>
    </row>
    <row r="12" spans="1:8" x14ac:dyDescent="0.45">
      <c r="E12" t="s">
        <v>19</v>
      </c>
      <c r="G12">
        <f>COUNTIF(C2:C7,"k*")</f>
        <v>2</v>
      </c>
    </row>
    <row r="13" spans="1:8" x14ac:dyDescent="0.45">
      <c r="E13" t="s">
        <v>20</v>
      </c>
      <c r="G13">
        <f>COUNTIF(A2:A7,"????")</f>
        <v>3</v>
      </c>
    </row>
    <row r="14" spans="1:8" x14ac:dyDescent="0.45">
      <c r="C14" t="s">
        <v>4</v>
      </c>
      <c r="E14" t="s">
        <v>21</v>
      </c>
      <c r="G14">
        <f>COUNTIF(C2:C7, C14)</f>
        <v>3</v>
      </c>
    </row>
    <row r="15" spans="1:8" x14ac:dyDescent="0.45">
      <c r="C15">
        <v>70</v>
      </c>
      <c r="E15" t="s">
        <v>22</v>
      </c>
      <c r="G15">
        <f>COUNTIF(B2:B7,"&gt;"&amp;C15)</f>
        <v>2</v>
      </c>
    </row>
    <row r="16" spans="1:8" x14ac:dyDescent="0.45">
      <c r="E16" t="s">
        <v>23</v>
      </c>
      <c r="G16">
        <f>COUNTIF(C2:C7,"Islamabad")</f>
        <v>1</v>
      </c>
    </row>
    <row r="17" spans="5:7" x14ac:dyDescent="0.45">
      <c r="E17" t="s">
        <v>24</v>
      </c>
      <c r="G17">
        <f>COUNTIF(B2:B7,"&lt;40")</f>
        <v>1</v>
      </c>
    </row>
    <row r="18" spans="5:7" x14ac:dyDescent="0.45">
      <c r="E18" t="s">
        <v>25</v>
      </c>
      <c r="G18">
        <f>COUNTIF(C2:C7,"*i")</f>
        <v>2</v>
      </c>
    </row>
    <row r="19" spans="5:7" x14ac:dyDescent="0.45">
      <c r="E19" t="s">
        <v>26</v>
      </c>
      <c r="G19">
        <f>COUNTIF(A2:A7,"A*")</f>
        <v>2</v>
      </c>
    </row>
  </sheetData>
  <mergeCells count="1">
    <mergeCell ref="E3:H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 Nawaz</dc:creator>
  <cp:lastModifiedBy>Asad Nawaz</cp:lastModifiedBy>
  <dcterms:created xsi:type="dcterms:W3CDTF">2026-04-25T04:54:48Z</dcterms:created>
  <dcterms:modified xsi:type="dcterms:W3CDTF">2026-04-25T05:41:32Z</dcterms:modified>
</cp:coreProperties>
</file>